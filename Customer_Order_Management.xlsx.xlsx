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66925"/>
  <xr:revisionPtr revIDLastSave="0" documentId="8_{9B5DDEA8-3ED5-464B-97EA-469AAD9597A3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Customer_Order_Management" sheetId="1" r:id="rId1"/>
    <sheet name="Data Cleaning Example" sheetId="2" r:id="rId2"/>
  </sheets>
  <definedNames>
    <definedName name="_xlnm._FilterDatabase" localSheetId="0" hidden="1">Customer_Order_Management!$A$1:$H$1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6" i="1" l="1"/>
  <c r="K5" i="1"/>
  <c r="K4" i="1"/>
  <c r="K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  <c r="K3" i="1" s="1"/>
</calcChain>
</file>

<file path=xl/sharedStrings.xml><?xml version="1.0" encoding="utf-8"?>
<sst xmlns="http://schemas.openxmlformats.org/spreadsheetml/2006/main" count="123" uniqueCount="71">
  <si>
    <t>Order ID</t>
  </si>
  <si>
    <t>Customer Name</t>
  </si>
  <si>
    <t>Product</t>
  </si>
  <si>
    <t>Quantity</t>
  </si>
  <si>
    <t>Unit Price</t>
  </si>
  <si>
    <t>Total Amount</t>
  </si>
  <si>
    <t>Order Date</t>
  </si>
  <si>
    <t>Status</t>
  </si>
  <si>
    <t>ORDER SUMMARY</t>
  </si>
  <si>
    <t>ORD-001</t>
  </si>
  <si>
    <t>John Smith</t>
  </si>
  <si>
    <t>Wireless Mouse</t>
  </si>
  <si>
    <t>Completed</t>
  </si>
  <si>
    <t>Total Orders</t>
  </si>
  <si>
    <t>ORD-002</t>
  </si>
  <si>
    <t>Maria Garcia</t>
  </si>
  <si>
    <t>Keyboard</t>
  </si>
  <si>
    <t>Pending</t>
  </si>
  <si>
    <t>Total Sales</t>
  </si>
  <si>
    <t>ORD-003</t>
  </si>
  <si>
    <t>James Wilson</t>
  </si>
  <si>
    <t>Monitor Stand</t>
  </si>
  <si>
    <t>Completed Orders</t>
  </si>
  <si>
    <t>ORD-004</t>
  </si>
  <si>
    <t>Emily Johnson</t>
  </si>
  <si>
    <t>USB Hub</t>
  </si>
  <si>
    <t>Processing</t>
  </si>
  <si>
    <t>Pending Orders</t>
  </si>
  <si>
    <t>ORD-005</t>
  </si>
  <si>
    <t>Daniel Brown</t>
  </si>
  <si>
    <t>Webcam</t>
  </si>
  <si>
    <t>Processing Orders</t>
  </si>
  <si>
    <t>ORD-006</t>
  </si>
  <si>
    <t>Sophia Davis</t>
  </si>
  <si>
    <t>Laptop Stand</t>
  </si>
  <si>
    <t>ORD-007</t>
  </si>
  <si>
    <t>Michael Miller</t>
  </si>
  <si>
    <t>Headset</t>
  </si>
  <si>
    <t>ORD-008</t>
  </si>
  <si>
    <t>Olivia Wilson</t>
  </si>
  <si>
    <t>ORD-009</t>
  </si>
  <si>
    <t>William Moore</t>
  </si>
  <si>
    <t>ORD-010</t>
  </si>
  <si>
    <t>Ava Taylor</t>
  </si>
  <si>
    <t>ORD-011</t>
  </si>
  <si>
    <t>Ethan Anderson</t>
  </si>
  <si>
    <t>ORD-012</t>
  </si>
  <si>
    <t>Isabella Thomas</t>
  </si>
  <si>
    <t>ORD-013</t>
  </si>
  <si>
    <t>Alexander Jackson</t>
  </si>
  <si>
    <t>ORD-014</t>
  </si>
  <si>
    <t>Mia White</t>
  </si>
  <si>
    <t>ORD-015</t>
  </si>
  <si>
    <t>Benjamin Harris</t>
  </si>
  <si>
    <t xml:space="preserve">                           BEFORE — RAW DATA                                                              AFTER — CLEANED DATA</t>
  </si>
  <si>
    <t>john smith</t>
  </si>
  <si>
    <t>wireless mouse</t>
  </si>
  <si>
    <t>completed</t>
  </si>
  <si>
    <t>James     Wilson</t>
  </si>
  <si>
    <t>COMPLETED</t>
  </si>
  <si>
    <t>emily johnson</t>
  </si>
  <si>
    <t>processing</t>
  </si>
  <si>
    <t>webcam</t>
  </si>
  <si>
    <t>maria garcia</t>
  </si>
  <si>
    <t>pending</t>
  </si>
  <si>
    <t>Cleaning tasks demonstrated:</t>
  </si>
  <si>
    <t>Standardized capitalization</t>
  </si>
  <si>
    <t>Removed unnecessary spaces</t>
  </si>
  <si>
    <t>Standardized status values</t>
  </si>
  <si>
    <t>Corrected inconsistent product names</t>
  </si>
  <si>
    <t>Identified potential duplicate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</si>
</sst>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mm/dd/yy;@"/>
  </numFmts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3" fillId="0" borderId="0" xfId="0" applyFont="1"/>
    <xf numFmtId="164" fontId="3" fillId="0" borderId="0" xfId="0" applyNumberFormat="1" applyFont="1"/>
    <xf numFmtId="165" fontId="3" fillId="0" borderId="0" xfId="0" applyNumberFormat="1" applyFont="1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15">
    <dxf>
      <font>
        <name val="Arial"/>
      </font>
    </dxf>
    <dxf>
      <font>
        <name val="Arial"/>
      </font>
      <numFmt numFmtId="165" formatCode="mm/dd/yy;@"/>
    </dxf>
    <dxf>
      <font>
        <name val="Arial"/>
      </font>
    </dxf>
    <dxf>
      <font>
        <name val="Arial"/>
      </font>
      <numFmt numFmtId="164" formatCode="&quot;$&quot;#,##0.00"/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bottom" textRotation="0" wrapText="0" indent="0" justifyLastLine="0" shrinkToFit="0" readingOrder="0"/>
    </dxf>
    <dxf>
      <font>
        <color rgb="FF0070C0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27466A-9714-49F7-9914-5D3B3D2F6C66}" name="Table1" displayName="Table1" ref="A1:H16" totalsRowShown="0" headerRowDxfId="9" dataDxfId="8">
  <autoFilter ref="A1:H16" xr:uid="{00000000-0001-0000-0000-000000000000}"/>
  <sortState xmlns:xlrd2="http://schemas.microsoft.com/office/spreadsheetml/2017/richdata2" ref="A2:H16">
    <sortCondition ref="A2:A16"/>
  </sortState>
  <tableColumns count="8">
    <tableColumn id="1" xr3:uid="{7E9D1BE4-6696-4873-A7B1-939D1643ED51}" name="Order ID" dataDxfId="7"/>
    <tableColumn id="2" xr3:uid="{A20BD33F-9AA2-476D-BAB4-637DB447B767}" name="Customer Name" dataDxfId="6"/>
    <tableColumn id="3" xr3:uid="{426282FC-FFE6-4A48-9583-73FECB882335}" name="Product" dataDxfId="5"/>
    <tableColumn id="4" xr3:uid="{9E7A1FC0-9351-4AD0-B3F0-07138669F42F}" name="Quantity" dataDxfId="4"/>
    <tableColumn id="5" xr3:uid="{29860114-EFEC-4723-BFB2-88D81DC5ACD6}" name="Unit Price" dataDxfId="3"/>
    <tableColumn id="6" xr3:uid="{2FA87BB3-BE10-4C5E-B5B9-0170F48F9365}" name="Total Amount" dataDxfId="2">
      <calculatedColumnFormula>D2*E2</calculatedColumnFormula>
    </tableColumn>
    <tableColumn id="7" xr3:uid="{06B8EF0E-9360-4BD2-A826-148E29B52019}" name="Order Date" dataDxfId="1"/>
    <tableColumn id="8" xr3:uid="{70D65DC6-6CE7-4DB4-A62E-7D4637EAA1B4}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workbookViewId="0">
      <pane ySplit="1" topLeftCell="A6" activePane="bottomLeft" state="frozen"/>
      <selection pane="bottomLeft" activeCell="J9" sqref="J9"/>
    </sheetView>
  </sheetViews>
  <sheetFormatPr defaultRowHeight="15"/>
  <cols>
    <col min="1" max="1" width="15.140625" customWidth="1"/>
    <col min="2" max="2" width="20.85546875" customWidth="1"/>
    <col min="3" max="3" width="19" customWidth="1"/>
    <col min="4" max="4" width="15.140625" customWidth="1"/>
    <col min="5" max="5" width="13.5703125" customWidth="1"/>
    <col min="6" max="6" width="19" customWidth="1"/>
    <col min="7" max="7" width="15" customWidth="1"/>
    <col min="8" max="8" width="12.140625" customWidth="1"/>
    <col min="10" max="10" width="18.42578125" customWidth="1"/>
    <col min="11" max="11" width="10.140625" customWidth="1"/>
  </cols>
  <sheetData>
    <row r="1" spans="1:11" ht="33.7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J1" s="7" t="s">
        <v>8</v>
      </c>
      <c r="K1" s="7"/>
    </row>
    <row r="2" spans="1:11">
      <c r="A2" s="4" t="s">
        <v>9</v>
      </c>
      <c r="B2" s="4" t="s">
        <v>10</v>
      </c>
      <c r="C2" s="4" t="s">
        <v>11</v>
      </c>
      <c r="D2" s="4">
        <v>2</v>
      </c>
      <c r="E2" s="5">
        <v>18.989999999999998</v>
      </c>
      <c r="F2" s="4">
        <f>D2*E2</f>
        <v>37.979999999999997</v>
      </c>
      <c r="G2" s="6">
        <v>46266</v>
      </c>
      <c r="H2" s="4" t="s">
        <v>12</v>
      </c>
      <c r="J2" s="2" t="s">
        <v>13</v>
      </c>
      <c r="K2" s="2">
        <f>COUNTA(A2:A16)</f>
        <v>15</v>
      </c>
    </row>
    <row r="3" spans="1:11">
      <c r="A3" s="4" t="s">
        <v>14</v>
      </c>
      <c r="B3" s="4" t="s">
        <v>15</v>
      </c>
      <c r="C3" s="4" t="s">
        <v>16</v>
      </c>
      <c r="D3" s="4">
        <v>1</v>
      </c>
      <c r="E3" s="5">
        <v>29.99</v>
      </c>
      <c r="F3" s="4">
        <f>D3*E3</f>
        <v>29.99</v>
      </c>
      <c r="G3" s="6">
        <v>46266</v>
      </c>
      <c r="H3" s="4" t="s">
        <v>17</v>
      </c>
      <c r="J3" s="2" t="s">
        <v>18</v>
      </c>
      <c r="K3" s="2">
        <f>SUM(F2:F16)</f>
        <v>820.09</v>
      </c>
    </row>
    <row r="4" spans="1:11">
      <c r="A4" s="4" t="s">
        <v>19</v>
      </c>
      <c r="B4" s="4" t="s">
        <v>20</v>
      </c>
      <c r="C4" s="4" t="s">
        <v>21</v>
      </c>
      <c r="D4" s="4">
        <v>3</v>
      </c>
      <c r="E4" s="5">
        <v>24.5</v>
      </c>
      <c r="F4" s="4">
        <f>D4*E4</f>
        <v>73.5</v>
      </c>
      <c r="G4" s="6">
        <v>46267</v>
      </c>
      <c r="H4" s="4" t="s">
        <v>12</v>
      </c>
      <c r="J4" s="2" t="s">
        <v>22</v>
      </c>
      <c r="K4" s="2">
        <f>COUNTIF(H2:H16,"Completed")</f>
        <v>8</v>
      </c>
    </row>
    <row r="5" spans="1:11">
      <c r="A5" s="4" t="s">
        <v>23</v>
      </c>
      <c r="B5" s="4" t="s">
        <v>24</v>
      </c>
      <c r="C5" s="4" t="s">
        <v>25</v>
      </c>
      <c r="D5" s="4">
        <v>2</v>
      </c>
      <c r="E5" s="5">
        <v>15.75</v>
      </c>
      <c r="F5" s="4">
        <f>D5*E5</f>
        <v>31.5</v>
      </c>
      <c r="G5" s="6">
        <v>46267</v>
      </c>
      <c r="H5" s="4" t="s">
        <v>26</v>
      </c>
      <c r="J5" s="2" t="s">
        <v>27</v>
      </c>
      <c r="K5" s="2">
        <f>COUNTIF(H2:H16,"Pending")</f>
        <v>4</v>
      </c>
    </row>
    <row r="6" spans="1:11">
      <c r="A6" s="4" t="s">
        <v>28</v>
      </c>
      <c r="B6" s="4" t="s">
        <v>29</v>
      </c>
      <c r="C6" s="4" t="s">
        <v>30</v>
      </c>
      <c r="D6" s="4">
        <v>1</v>
      </c>
      <c r="E6" s="5">
        <v>45.99</v>
      </c>
      <c r="F6" s="4">
        <f>D6*E6</f>
        <v>45.99</v>
      </c>
      <c r="G6" s="6">
        <v>46268</v>
      </c>
      <c r="H6" s="4" t="s">
        <v>12</v>
      </c>
      <c r="J6" s="2" t="s">
        <v>31</v>
      </c>
      <c r="K6" s="2">
        <f>COUNTIF(H2:H16,"Processing")</f>
        <v>3</v>
      </c>
    </row>
    <row r="7" spans="1:11">
      <c r="A7" s="4" t="s">
        <v>32</v>
      </c>
      <c r="B7" s="4" t="s">
        <v>33</v>
      </c>
      <c r="C7" s="4" t="s">
        <v>34</v>
      </c>
      <c r="D7" s="4">
        <v>2</v>
      </c>
      <c r="E7" s="5">
        <v>32.5</v>
      </c>
      <c r="F7" s="4">
        <f>D7*E7</f>
        <v>65</v>
      </c>
      <c r="G7" s="6">
        <v>46268</v>
      </c>
      <c r="H7" s="4" t="s">
        <v>17</v>
      </c>
    </row>
    <row r="8" spans="1:11">
      <c r="A8" s="4" t="s">
        <v>35</v>
      </c>
      <c r="B8" s="4" t="s">
        <v>36</v>
      </c>
      <c r="C8" s="4" t="s">
        <v>37</v>
      </c>
      <c r="D8" s="4">
        <v>1</v>
      </c>
      <c r="E8" s="5">
        <v>39.99</v>
      </c>
      <c r="F8" s="4">
        <f>D8*E8</f>
        <v>39.99</v>
      </c>
      <c r="G8" s="6">
        <v>46269</v>
      </c>
      <c r="H8" s="4" t="s">
        <v>12</v>
      </c>
    </row>
    <row r="9" spans="1:11">
      <c r="A9" s="4" t="s">
        <v>38</v>
      </c>
      <c r="B9" s="4" t="s">
        <v>39</v>
      </c>
      <c r="C9" s="4" t="s">
        <v>11</v>
      </c>
      <c r="D9" s="4">
        <v>4</v>
      </c>
      <c r="E9" s="5">
        <v>18.989999999999998</v>
      </c>
      <c r="F9" s="4">
        <f>D9*E9</f>
        <v>75.959999999999994</v>
      </c>
      <c r="G9" s="6">
        <v>46269</v>
      </c>
      <c r="H9" s="4" t="s">
        <v>26</v>
      </c>
    </row>
    <row r="10" spans="1:11">
      <c r="A10" s="4" t="s">
        <v>40</v>
      </c>
      <c r="B10" s="4" t="s">
        <v>41</v>
      </c>
      <c r="C10" s="4" t="s">
        <v>16</v>
      </c>
      <c r="D10" s="4">
        <v>2</v>
      </c>
      <c r="E10" s="5">
        <v>29.99</v>
      </c>
      <c r="F10" s="4">
        <f>D10*E10</f>
        <v>59.98</v>
      </c>
      <c r="G10" s="6">
        <v>46270</v>
      </c>
      <c r="H10" s="4" t="s">
        <v>12</v>
      </c>
    </row>
    <row r="11" spans="1:11">
      <c r="A11" s="4" t="s">
        <v>42</v>
      </c>
      <c r="B11" s="4" t="s">
        <v>43</v>
      </c>
      <c r="C11" s="4" t="s">
        <v>25</v>
      </c>
      <c r="D11" s="4">
        <v>3</v>
      </c>
      <c r="E11" s="5">
        <v>15.75</v>
      </c>
      <c r="F11" s="4">
        <f>D11*E11</f>
        <v>47.25</v>
      </c>
      <c r="G11" s="6">
        <v>46270</v>
      </c>
      <c r="H11" s="4" t="s">
        <v>17</v>
      </c>
    </row>
    <row r="12" spans="1:11">
      <c r="A12" s="4" t="s">
        <v>44</v>
      </c>
      <c r="B12" s="4" t="s">
        <v>45</v>
      </c>
      <c r="C12" s="4" t="s">
        <v>30</v>
      </c>
      <c r="D12" s="4">
        <v>2</v>
      </c>
      <c r="E12" s="5">
        <v>45.99</v>
      </c>
      <c r="F12" s="4">
        <f>D12*E12</f>
        <v>91.98</v>
      </c>
      <c r="G12" s="6">
        <v>46271</v>
      </c>
      <c r="H12" s="4" t="s">
        <v>12</v>
      </c>
    </row>
    <row r="13" spans="1:11">
      <c r="A13" s="4" t="s">
        <v>46</v>
      </c>
      <c r="B13" s="4" t="s">
        <v>47</v>
      </c>
      <c r="C13" s="4" t="s">
        <v>21</v>
      </c>
      <c r="D13" s="4">
        <v>1</v>
      </c>
      <c r="E13" s="5">
        <v>24.5</v>
      </c>
      <c r="F13" s="4">
        <f>D13*E13</f>
        <v>24.5</v>
      </c>
      <c r="G13" s="6">
        <v>46271</v>
      </c>
      <c r="H13" s="4" t="s">
        <v>26</v>
      </c>
    </row>
    <row r="14" spans="1:11">
      <c r="A14" s="4" t="s">
        <v>48</v>
      </c>
      <c r="B14" s="4" t="s">
        <v>49</v>
      </c>
      <c r="C14" s="4" t="s">
        <v>34</v>
      </c>
      <c r="D14" s="4">
        <v>3</v>
      </c>
      <c r="E14" s="5">
        <v>32.5</v>
      </c>
      <c r="F14" s="4">
        <f>D14*E14</f>
        <v>97.5</v>
      </c>
      <c r="G14" s="6">
        <v>46272</v>
      </c>
      <c r="H14" s="4" t="s">
        <v>12</v>
      </c>
    </row>
    <row r="15" spans="1:11">
      <c r="A15" s="4" t="s">
        <v>50</v>
      </c>
      <c r="B15" s="4" t="s">
        <v>51</v>
      </c>
      <c r="C15" s="4" t="s">
        <v>37</v>
      </c>
      <c r="D15" s="4">
        <v>2</v>
      </c>
      <c r="E15" s="5">
        <v>39.99</v>
      </c>
      <c r="F15" s="4">
        <f>D15*E15</f>
        <v>79.98</v>
      </c>
      <c r="G15" s="6">
        <v>46272</v>
      </c>
      <c r="H15" s="4" t="s">
        <v>17</v>
      </c>
    </row>
    <row r="16" spans="1:11">
      <c r="A16" s="4" t="s">
        <v>52</v>
      </c>
      <c r="B16" s="4" t="s">
        <v>53</v>
      </c>
      <c r="C16" s="4" t="s">
        <v>11</v>
      </c>
      <c r="D16" s="4">
        <v>1</v>
      </c>
      <c r="E16" s="5">
        <v>18.989999999999998</v>
      </c>
      <c r="F16" s="4">
        <f>D16*E16</f>
        <v>18.989999999999998</v>
      </c>
      <c r="G16" s="6">
        <v>46273</v>
      </c>
      <c r="H16" s="4" t="s">
        <v>12</v>
      </c>
    </row>
  </sheetData>
  <mergeCells count="1">
    <mergeCell ref="J1:K1"/>
  </mergeCells>
  <conditionalFormatting sqref="H2:H16">
    <cfRule type="containsText" dxfId="14" priority="5" operator="containsText" text="Completed">
      <formula>NOT(ISERROR(SEARCH("Completed",H2)))</formula>
    </cfRule>
  </conditionalFormatting>
  <conditionalFormatting sqref="H2:H16">
    <cfRule type="containsText" dxfId="13" priority="4" operator="containsText" text="Pending">
      <formula>NOT(ISERROR(SEARCH("Pending",H2)))</formula>
    </cfRule>
  </conditionalFormatting>
  <conditionalFormatting sqref="H2:H16">
    <cfRule type="cellIs" dxfId="12" priority="3" operator="greaterThan">
      <formula>"Processing"</formula>
    </cfRule>
  </conditionalFormatting>
  <conditionalFormatting sqref="J11">
    <cfRule type="cellIs" dxfId="11" priority="2" operator="greaterThan">
      <formula>"Processing"</formula>
    </cfRule>
  </conditionalFormatting>
  <conditionalFormatting sqref="H2:H16">
    <cfRule type="containsText" dxfId="10" priority="1" operator="containsText" text="Processing ">
      <formula>NOT(ISERROR(SEARCH("Processing ",H2)))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D705F-2FA2-40DD-9194-A1691CE8881E}">
  <dimension ref="A1:H15"/>
  <sheetViews>
    <sheetView tabSelected="1" workbookViewId="0">
      <selection activeCell="C10" sqref="C10:E15"/>
    </sheetView>
  </sheetViews>
  <sheetFormatPr defaultRowHeight="15"/>
  <cols>
    <col min="1" max="1" width="17.85546875" customWidth="1"/>
    <col min="2" max="2" width="8.85546875" customWidth="1"/>
    <col min="3" max="3" width="16.28515625" customWidth="1"/>
    <col min="5" max="5" width="16.85546875" customWidth="1"/>
    <col min="6" max="6" width="14.85546875" customWidth="1"/>
    <col min="7" max="7" width="14" customWidth="1"/>
  </cols>
  <sheetData>
    <row r="1" spans="1:8">
      <c r="A1" s="8" t="s">
        <v>54</v>
      </c>
      <c r="B1" s="8"/>
      <c r="C1" s="8"/>
      <c r="D1" s="8"/>
      <c r="E1" s="8"/>
      <c r="F1" s="8"/>
      <c r="G1" s="8"/>
      <c r="H1" s="8"/>
    </row>
    <row r="2" spans="1:8">
      <c r="A2" s="1" t="s">
        <v>1</v>
      </c>
      <c r="B2" s="1" t="s">
        <v>2</v>
      </c>
      <c r="C2" s="1" t="s">
        <v>7</v>
      </c>
      <c r="E2" s="1" t="s">
        <v>1</v>
      </c>
      <c r="F2" s="1" t="s">
        <v>2</v>
      </c>
      <c r="G2" s="1" t="s">
        <v>7</v>
      </c>
    </row>
    <row r="3" spans="1:8">
      <c r="A3" t="s">
        <v>55</v>
      </c>
      <c r="B3" t="s">
        <v>56</v>
      </c>
      <c r="C3" t="s">
        <v>57</v>
      </c>
      <c r="E3" t="s">
        <v>10</v>
      </c>
      <c r="F3" t="s">
        <v>11</v>
      </c>
      <c r="G3" t="s">
        <v>12</v>
      </c>
    </row>
    <row r="4" spans="1:8">
      <c r="A4" t="s">
        <v>15</v>
      </c>
      <c r="B4" t="s">
        <v>16</v>
      </c>
      <c r="C4" t="s">
        <v>17</v>
      </c>
      <c r="E4" t="s">
        <v>15</v>
      </c>
      <c r="F4" t="s">
        <v>16</v>
      </c>
      <c r="G4" t="s">
        <v>17</v>
      </c>
    </row>
    <row r="5" spans="1:8">
      <c r="A5" t="s">
        <v>58</v>
      </c>
      <c r="B5" t="s">
        <v>21</v>
      </c>
      <c r="C5" t="s">
        <v>59</v>
      </c>
      <c r="E5" t="s">
        <v>20</v>
      </c>
      <c r="F5" t="s">
        <v>21</v>
      </c>
      <c r="G5" t="s">
        <v>12</v>
      </c>
    </row>
    <row r="6" spans="1:8">
      <c r="A6" t="s">
        <v>60</v>
      </c>
      <c r="B6" t="s">
        <v>25</v>
      </c>
      <c r="C6" t="s">
        <v>61</v>
      </c>
      <c r="E6" t="s">
        <v>24</v>
      </c>
      <c r="F6" t="s">
        <v>25</v>
      </c>
      <c r="G6" t="s">
        <v>26</v>
      </c>
    </row>
    <row r="7" spans="1:8">
      <c r="A7" t="s">
        <v>29</v>
      </c>
      <c r="B7" t="s">
        <v>62</v>
      </c>
      <c r="C7" t="s">
        <v>59</v>
      </c>
      <c r="E7" t="s">
        <v>29</v>
      </c>
      <c r="F7" t="s">
        <v>30</v>
      </c>
      <c r="G7" t="s">
        <v>12</v>
      </c>
    </row>
    <row r="8" spans="1:8">
      <c r="A8" t="s">
        <v>63</v>
      </c>
      <c r="B8" t="s">
        <v>16</v>
      </c>
      <c r="C8" t="s">
        <v>64</v>
      </c>
      <c r="E8" t="s">
        <v>15</v>
      </c>
      <c r="F8" t="s">
        <v>16</v>
      </c>
      <c r="G8" t="s">
        <v>17</v>
      </c>
    </row>
    <row r="10" spans="1:8">
      <c r="C10" s="1" t="s">
        <v>65</v>
      </c>
    </row>
    <row r="11" spans="1:8">
      <c r="C11" t="s">
        <v>66</v>
      </c>
    </row>
    <row r="12" spans="1:8">
      <c r="C12" t="s">
        <v>67</v>
      </c>
    </row>
    <row r="13" spans="1:8">
      <c r="C13" t="s">
        <v>68</v>
      </c>
    </row>
    <row r="14" spans="1:8">
      <c r="C14" t="s">
        <v>69</v>
      </c>
    </row>
    <row r="15" spans="1:8">
      <c r="C15" t="s">
        <v>70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2026-09-13T08:21:46Z</dcterms:created>
  <dcterms:modified xsi:type="dcterms:W3CDTF">2026-09-15T12:25:08Z</dcterms:modified>
  <cp:category/>
  <cp:contentStatus/>
</cp:coreProperties>
</file>